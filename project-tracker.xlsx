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4f9c5d093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專案追蹤" sheetId="1" r:id="R5c2c69081e38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63747A"/>
      <x:name val="Aptos"/>
    </x:font>
    <x:font>
      <x:b/>
      <x:sz val="10"/>
      <x:color rgb="FF123641"/>
      <x:name val="Aptos"/>
    </x:font>
    <x:font>
      <x:b/>
      <x:sz val="16"/>
      <x:color rgb="FFE87745"/>
      <x:name val="Aptos"/>
    </x:font>
    <x:font>
      <x:b/>
      <x:sz val="10"/>
      <x:color rgb="FFFFFFFF"/>
      <x:name val="Aptos"/>
    </x:font>
    <x:font>
      <x:sz val="10"/>
      <x:color rgb="FF516268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23641"/>
      </x:patternFill>
    </x:fill>
    <x:fill>
      <x:patternFill patternType="solid">
        <x:fgColor rgb="FFEAF1ED"/>
      </x:patternFill>
    </x:fill>
  </x:fills>
  <x:borders count="15">
    <x:border/>
    <x:border>
      <x:left style="thin">
        <x:color rgb="FFC7D7D1"/>
      </x:left>
      <x:top style="thin">
        <x:color rgb="FFC7D7D1"/>
      </x:top>
      <x:bottom style="thin">
        <x:color rgb="FFC7D7D1"/>
      </x:bottom>
    </x:border>
    <x:border>
      <x:right style="thin">
        <x:color rgb="FFC7D7D1"/>
      </x:right>
      <x:top style="thin">
        <x:color rgb="FFC7D7D1"/>
      </x:top>
      <x:bottom style="thin">
        <x:color rgb="FFC7D7D1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5E0DC"/>
      </x:right>
      <x:bottom style="thin">
        <x:color rgb="FFD5E0DC"/>
      </x:bottom>
    </x:border>
    <x:border>
      <x:left style="thin">
        <x:color rgb="FFD5E0DC"/>
      </x:left>
      <x:right style="thin">
        <x:color rgb="FFD5E0DC"/>
      </x:right>
      <x:bottom style="thin">
        <x:color rgb="FFD5E0DC"/>
      </x:bottom>
    </x:border>
    <x:border>
      <x:left style="thin">
        <x:color rgb="FFD5E0DC"/>
      </x:left>
      <x:bottom style="thin">
        <x:color rgb="FFD5E0DC"/>
      </x:bottom>
    </x:border>
    <x:border>
      <x:right style="thin">
        <x:color rgb="FFD5E0DC"/>
      </x:right>
      <x:top style="thin">
        <x:color rgb="FFD5E0DC"/>
      </x:top>
      <x:bottom style="thin">
        <x:color rgb="FFD5E0DC"/>
      </x:bottom>
    </x:border>
    <x:border>
      <x:left style="thin">
        <x:color rgb="FFD5E0DC"/>
      </x:left>
      <x:right style="thin">
        <x:color rgb="FFD5E0DC"/>
      </x:right>
      <x:top style="thin">
        <x:color rgb="FFD5E0DC"/>
      </x:top>
      <x:bottom style="thin">
        <x:color rgb="FFD5E0DC"/>
      </x:bottom>
    </x:border>
    <x:border>
      <x:left style="thin">
        <x:color rgb="FFD5E0DC"/>
      </x:left>
      <x:top style="thin">
        <x:color rgb="FFD5E0DC"/>
      </x:top>
      <x:bottom style="thin">
        <x:color rgb="FFD5E0DC"/>
      </x:bottom>
    </x:border>
    <x:border>
      <x:right style="thin">
        <x:color rgb="FFD5E0DC"/>
      </x:right>
      <x:top style="thin">
        <x:color rgb="FFD5E0DC"/>
      </x:top>
    </x:border>
    <x:border>
      <x:left style="thin">
        <x:color rgb="FFD5E0DC"/>
      </x:left>
      <x:right style="thin">
        <x:color rgb="FFD5E0DC"/>
      </x:right>
      <x:top style="thin">
        <x:color rgb="FFD5E0DC"/>
      </x:top>
    </x:border>
    <x:border>
      <x:left style="thin">
        <x:color rgb="FFD5E0DC"/>
      </x:left>
      <x:top style="thin">
        <x:color rgb="FFD5E0DC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5" fillId="2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49b84995d4dce" /><Relationship Type="http://schemas.openxmlformats.org/officeDocument/2006/relationships/theme" Target="/xl/theme/theme1.xml" Id="Re9f9ee6772164c9b" /><Relationship Type="http://schemas.openxmlformats.org/officeDocument/2006/relationships/sharedStrings" Target="/xl/sharedStrings.xml" Id="R8ca5949f94fc4c6d" /><Relationship Type="http://schemas.openxmlformats.org/officeDocument/2006/relationships/worksheet" Target="/xl/worksheets/sheet1.xml" Id="R5c2c69081e384a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64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32" hidden="0" customWidth="1"/>
    <x:col min="4" max="4" width="16" hidden="0" customWidth="1"/>
    <x:col min="5" max="5" width="30" hidden="0" customWidth="1"/>
    <x:col min="6" max="6" width="13" hidden="0" customWidth="1"/>
    <x:col min="7" max="7" width="13" hidden="0" customWidth="1"/>
    <x:col min="8" max="8" width="18" hidden="0" customWidth="1"/>
  </x:cols>
  <x:sheetData>
    <x:row r="1" ht="30" customHeight="1">
      <x:c r="A1" s="3" t="str">
        <x:v>設備專案執行追蹤表（去識別化版）</x:v>
      </x:c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依實際專案的任務拆解與資料欄位重新整理。公司、客戶、廠商、金額、日期及原始文件均已移除。</x:v>
      </x:c>
      <x:c r="B2" s="5"/>
      <x:c r="C2" s="5"/>
      <x:c r="D2" s="5"/>
      <x:c r="E2" s="5"/>
      <x:c r="F2" s="5"/>
      <x:c r="G2" s="5"/>
      <x:c r="H2" s="5"/>
    </x:row>
    <x:row r="4" ht="28" customHeight="1">
      <x:c r="A4" s="11" t="str">
        <x:v>執行中項目</x:v>
      </x:c>
      <x:c r="B4" s="13" t="n">
        <x:f>COUNTIF($G$8:$G$14,"執行中")</x:f>
        <x:v>3</x:v>
      </x:c>
      <x:c r="C4" s="11" t="str">
        <x:v>待確認項目</x:v>
      </x:c>
      <x:c r="D4" s="12" t="n">
        <x:f>COUNTIF($G$8:$G$14,"待確認")</x:f>
        <x:v>2</x:v>
      </x:c>
      <x:c r="E4" s="11" t="str">
        <x:v>高風險項目</x:v>
      </x:c>
      <x:c r="F4" s="12" t="n">
        <x:f>COUNTIF($H$8:$H$14,"高")</x:f>
        <x:v>3</x:v>
      </x:c>
      <x:c r="G4" s="11" t="str">
        <x:v>已完成項目</x:v>
      </x:c>
      <x:c r="H4" s="12" t="n">
        <x:f>COUNTIF($G$8:$G$14,"已完成")</x:f>
        <x:v>2</x:v>
      </x:c>
    </x:row>
    <x:row r="7" ht="15" hidden="0" customHeight="1">
      <x:c r="A7" s="17" t="str">
        <x:v>工作流</x:v>
      </x:c>
      <x:c r="B7" s="18" t="str">
        <x:v>工作項目</x:v>
      </x:c>
      <x:c r="C7" s="18" t="str">
        <x:v>管理依據／輸入</x:v>
      </x:c>
      <x:c r="D7" s="18" t="str">
        <x:v>責任窗口</x:v>
      </x:c>
      <x:c r="E7" s="18" t="str">
        <x:v>下一步／交付</x:v>
      </x:c>
      <x:c r="F7" s="18" t="str">
        <x:v>追蹤週期</x:v>
      </x:c>
      <x:c r="G7" s="18" t="str">
        <x:v>狀態</x:v>
      </x:c>
      <x:c r="H7" s="19" t="str">
        <x:v>風險</x:v>
      </x:c>
    </x:row>
    <x:row r="8" ht="15" hidden="0" customHeight="1">
      <x:c r="A8" s="38" t="str">
        <x:v>需求與發包</x:v>
      </x:c>
      <x:c r="B8" s="39" t="str">
        <x:v>規格與交付基準確認</x:v>
      </x:c>
      <x:c r="C8" s="39" t="str">
        <x:v>圖面、規格、數量、品質與驗收條件</x:v>
      </x:c>
      <x:c r="D8" s="39" t="str">
        <x:v>工程／PM</x:v>
      </x:c>
      <x:c r="E8" s="39" t="str">
        <x:v>確認待決事項並建立任務</x:v>
      </x:c>
      <x:c r="F8" s="39" t="str">
        <x:v>W1</x:v>
      </x:c>
      <x:c r="G8" s="39" t="str">
        <x:v>已完成</x:v>
      </x:c>
      <x:c r="H8" s="40" t="str">
        <x:v>中</x:v>
      </x:c>
    </x:row>
    <x:row r="9" ht="15" hidden="0" customHeight="1">
      <x:c r="A9" s="41" t="str">
        <x:v>需求與發包</x:v>
      </x:c>
      <x:c r="B9" s="42" t="str">
        <x:v>比價與合約條件整理</x:v>
      </x:c>
      <x:c r="C9" s="42" t="str">
        <x:v>供應範圍、交期、品質、保固與付款條件</x:v>
      </x:c>
      <x:c r="D9" s="42" t="str">
        <x:v>PM／採購</x:v>
      </x:c>
      <x:c r="E9" s="42" t="str">
        <x:v>完成條件對照與簽約前確認</x:v>
      </x:c>
      <x:c r="F9" s="42" t="str">
        <x:v>W1–W2</x:v>
      </x:c>
      <x:c r="G9" s="42" t="str">
        <x:v>已完成</x:v>
      </x:c>
      <x:c r="H9" s="43" t="str">
        <x:v>高</x:v>
      </x:c>
    </x:row>
    <x:row r="10" ht="15" hidden="0" customHeight="1">
      <x:c r="A10" s="41" t="str">
        <x:v>供應商追蹤</x:v>
      </x:c>
      <x:c r="B10" s="42" t="str">
        <x:v>製作與產能回覆</x:v>
      </x:c>
      <x:c r="C10" s="42" t="str">
        <x:v>供應商排程、關鍵工序與待確認資料</x:v>
      </x:c>
      <x:c r="D10" s="42" t="str">
        <x:v>PM／供應商</x:v>
      </x:c>
      <x:c r="E10" s="42" t="str">
        <x:v>更新交期與影響項目</x:v>
      </x:c>
      <x:c r="F10" s="42" t="str">
        <x:v>每週</x:v>
      </x:c>
      <x:c r="G10" s="42" t="str">
        <x:v>執行中</x:v>
      </x:c>
      <x:c r="H10" s="43" t="str">
        <x:v>高</x:v>
      </x:c>
    </x:row>
    <x:row r="11" ht="15" hidden="0" customHeight="1">
      <x:c r="A11" s="41" t="str">
        <x:v>交期與進場</x:v>
      </x:c>
      <x:c r="B11" s="42" t="str">
        <x:v>分批到貨與進場窗口</x:v>
      </x:c>
      <x:c r="C11" s="42" t="str">
        <x:v>到貨節點、現場作業面與吊裝安排</x:v>
      </x:c>
      <x:c r="D11" s="42" t="str">
        <x:v>PM／現場</x:v>
      </x:c>
      <x:c r="E11" s="42" t="str">
        <x:v>確認進場前置條件</x:v>
      </x:c>
      <x:c r="F11" s="42" t="str">
        <x:v>每週</x:v>
      </x:c>
      <x:c r="G11" s="42" t="str">
        <x:v>執行中</x:v>
      </x:c>
      <x:c r="H11" s="43" t="str">
        <x:v>中</x:v>
      </x:c>
    </x:row>
    <x:row r="12" ht="15" hidden="0" customHeight="1">
      <x:c r="A12" s="41" t="str">
        <x:v>交期與進場</x:v>
      </x:c>
      <x:c r="B12" s="42" t="str">
        <x:v>安裝介面與版本確認</x:v>
      </x:c>
      <x:c r="C12" s="42" t="str">
        <x:v>最新版圖面、安裝條件與跨單位會議結論</x:v>
      </x:c>
      <x:c r="D12" s="42" t="str">
        <x:v>工程／現場</x:v>
      </x:c>
      <x:c r="E12" s="42" t="str">
        <x:v>關閉版本與責任界面差異</x:v>
      </x:c>
      <x:c r="F12" s="42" t="str">
        <x:v>每週</x:v>
      </x:c>
      <x:c r="G12" s="42" t="str">
        <x:v>待確認</x:v>
      </x:c>
      <x:c r="H12" s="43" t="str">
        <x:v>中</x:v>
      </x:c>
    </x:row>
    <x:row r="13" ht="15" hidden="0" customHeight="1">
      <x:c r="A13" s="41" t="str">
        <x:v>異常與變更</x:v>
      </x:c>
      <x:c r="B13" s="42" t="str">
        <x:v>交期落差與處置追蹤</x:v>
      </x:c>
      <x:c r="C13" s="42" t="str">
        <x:v>問題描述、影響、責任窗口與回覆期限</x:v>
      </x:c>
      <x:c r="D13" s="42" t="str">
        <x:v>PM</x:v>
      </x:c>
      <x:c r="E13" s="42" t="str">
        <x:v>列入 Issue Log 並追蹤處置</x:v>
      </x:c>
      <x:c r="F13" s="42" t="str">
        <x:v>每週</x:v>
      </x:c>
      <x:c r="G13" s="42" t="str">
        <x:v>執行中</x:v>
      </x:c>
      <x:c r="H13" s="43" t="str">
        <x:v>高</x:v>
      </x:c>
    </x:row>
    <x:row r="14" ht="15" hidden="0" customHeight="1">
      <x:c r="A14" s="44" t="str">
        <x:v>交付與驗收</x:v>
      </x:c>
      <x:c r="B14" s="45" t="str">
        <x:v>驗收文件與附件檢核</x:v>
      </x:c>
      <x:c r="C14" s="45" t="str">
        <x:v>完成度、測試／驗收紀錄與文件清單</x:v>
      </x:c>
      <x:c r="D14" s="45" t="str">
        <x:v>PM／品質</x:v>
      </x:c>
      <x:c r="E14" s="45" t="str">
        <x:v>確認可交付項目與補件責任</x:v>
      </x:c>
      <x:c r="F14" s="45" t="str">
        <x:v>交付前</x:v>
      </x:c>
      <x:c r="G14" s="45" t="str">
        <x:v>待確認</x:v>
      </x:c>
      <x:c r="H14" s="46" t="str">
        <x:v>中</x:v>
      </x:c>
    </x:row>
    <x:row r="18" ht="15" hidden="0" customHeight="1">
      <x:c r="A18" s="17" t="str">
        <x:v>會議／行動紀錄</x:v>
      </x:c>
      <x:c r="B18" s="18" t="str">
        <x:v>議題</x:v>
      </x:c>
      <x:c r="C18" s="18" t="str">
        <x:v>影響範圍</x:v>
      </x:c>
      <x:c r="D18" s="18" t="str">
        <x:v>決議或需確認事項</x:v>
      </x:c>
      <x:c r="E18" s="18" t="str">
        <x:v>責任窗口</x:v>
      </x:c>
      <x:c r="F18" s="18" t="str">
        <x:v>完成期限</x:v>
      </x:c>
      <x:c r="G18" s="18" t="str">
        <x:v>狀態</x:v>
      </x:c>
      <x:c r="H18" s="19" t="str">
        <x:v>備註</x:v>
      </x:c>
    </x:row>
    <x:row r="19" ht="26.399999618530273" hidden="0" customHeight="1">
      <x:c r="A19" s="38" t="str">
        <x:v>例行協調</x:v>
      </x:c>
      <x:c r="B19" s="39" t="str">
        <x:v>圖面版本與現場條件不同步</x:v>
      </x:c>
      <x:c r="C19" s="39" t="str">
        <x:v>安裝排程與後續工序</x:v>
      </x:c>
      <x:c r="D19" s="39" t="str">
        <x:v>由工程確認最新版本；PM彙整變更影響</x:v>
      </x:c>
      <x:c r="E19" s="39" t="str">
        <x:v>工程／PM</x:v>
      </x:c>
      <x:c r="F19" s="39" t="str">
        <x:v>下次會議前</x:v>
      </x:c>
      <x:c r="G19" s="39" t="str">
        <x:v>待確認</x:v>
      </x:c>
      <x:c r="H19" s="40" t="str">
        <x:v>資料以最新版為準</x:v>
      </x:c>
    </x:row>
    <x:row r="20" ht="26.399999618530273" hidden="0" customHeight="1">
      <x:c r="A20" s="41" t="str">
        <x:v>供應協調</x:v>
      </x:c>
      <x:c r="B20" s="42" t="str">
        <x:v>關鍵工序交期需更新</x:v>
      </x:c>
      <x:c r="C20" s="42" t="str">
        <x:v>到貨與進場安排</x:v>
      </x:c>
      <x:c r="D20" s="42" t="str">
        <x:v>供應商提出更新排程；PM評估現場影響</x:v>
      </x:c>
      <x:c r="E20" s="42" t="str">
        <x:v>供應商／PM</x:v>
      </x:c>
      <x:c r="F20" s="42" t="str">
        <x:v>本週</x:v>
      </x:c>
      <x:c r="G20" s="42" t="str">
        <x:v>執行中</x:v>
      </x:c>
      <x:c r="H20" s="43" t="str">
        <x:v>保留替代方案</x:v>
      </x:c>
    </x:row>
    <x:row r="21" ht="26.399999618530273" hidden="0" customHeight="1">
      <x:c r="A21" s="41" t="str">
        <x:v>現場協調</x:v>
      </x:c>
      <x:c r="B21" s="42" t="str">
        <x:v>進場窗口與作業面確認</x:v>
      </x:c>
      <x:c r="C21" s="42" t="str">
        <x:v>吊裝與安裝順序</x:v>
      </x:c>
      <x:c r="D21" s="42" t="str">
        <x:v>現場確認可作業條件與資源</x:v>
      </x:c>
      <x:c r="E21" s="42" t="str">
        <x:v>現場／PM</x:v>
      </x:c>
      <x:c r="F21" s="42" t="str">
        <x:v>本週</x:v>
      </x:c>
      <x:c r="G21" s="42" t="str">
        <x:v>待確認</x:v>
      </x:c>
      <x:c r="H21" s="43" t="str">
        <x:v>未確認前不排定進場</x:v>
      </x:c>
    </x:row>
    <x:row r="22" ht="26.399999618530273" hidden="0" customHeight="1">
      <x:c r="A22" s="44" t="str">
        <x:v>交付檢核</x:v>
      </x:c>
      <x:c r="B22" s="45" t="str">
        <x:v>驗收附件完整性</x:v>
      </x:c>
      <x:c r="C22" s="45" t="str">
        <x:v>交付與後續結案</x:v>
      </x:c>
      <x:c r="D22" s="45" t="str">
        <x:v>依文件清單確認補件窗口與期限</x:v>
      </x:c>
      <x:c r="E22" s="45" t="str">
        <x:v>PM／品質</x:v>
      </x:c>
      <x:c r="F22" s="45" t="str">
        <x:v>交付前</x:v>
      </x:c>
      <x:c r="G22" s="45" t="str">
        <x:v>待確認</x:v>
      </x:c>
      <x:c r="H22" s="46" t="str">
        <x:v>不以口頭完成認定</x:v>
      </x:c>
    </x:row>
    <x:row r="25">
      <x:c r="A25" s="17" t="str">
        <x:v>使用方式</x:v>
      </x:c>
      <x:c r="B25" s="18"/>
      <x:c r="C25" s="18"/>
      <x:c r="D25" s="18"/>
      <x:c r="E25" s="18"/>
      <x:c r="F25" s="18"/>
      <x:c r="G25" s="18"/>
      <x:c r="H25" s="19"/>
    </x:row>
    <x:row r="26" ht="24" hidden="0" customHeight="1">
      <x:c r="A26" s="48" t="str">
        <x:v>1</x:v>
      </x:c>
      <x:c r="B26" s="48" t="str">
        <x:v>先以工作流拆解任務，再設定責任窗口、週期與交付條件。</x:v>
      </x:c>
      <x:c r="C26" s="48"/>
      <x:c r="D26" s="48"/>
      <x:c r="E26" s="48"/>
      <x:c r="F26" s="48"/>
      <x:c r="G26" s="48"/>
      <x:c r="H26" s="48"/>
    </x:row>
    <x:row r="27" ht="36" hidden="0" customHeight="1">
      <x:c r="A27" s="48" t="str">
        <x:v>2</x:v>
      </x:c>
      <x:c r="B27" s="48" t="str">
        <x:v>將供應、現場、工程及文件差異收斂到同一份追蹤表，並於會議後更新狀態。</x:v>
      </x:c>
      <x:c r="C27" s="48"/>
      <x:c r="D27" s="48"/>
      <x:c r="E27" s="48"/>
      <x:c r="F27" s="48"/>
      <x:c r="G27" s="48"/>
      <x:c r="H27" s="48"/>
    </x:row>
    <x:row r="28" ht="36" hidden="0" customHeight="1">
      <x:c r="A28" s="48" t="str">
        <x:v>3</x:v>
      </x:c>
      <x:c r="B28" s="48" t="str">
        <x:v>此檔為作品集支撐文件；內容採去識別化處理，不包含任何保密或商業資訊。</x:v>
      </x:c>
      <x:c r="C28" s="48"/>
      <x:c r="D28" s="48"/>
      <x:c r="E28" s="48"/>
      <x:c r="F28" s="48"/>
      <x:c r="G28" s="48"/>
      <x:c r="H28" s="48"/>
    </x:row>
  </x:sheetData>
  <x:mergeCells>
    <x:mergeCell ref="A1:H1"/>
    <x:mergeCell ref="A2:H2"/>
  </x:mergeCells>
  <x:conditionalFormatting sqref="G8:G14">
    <x:cfRule type="containsText" dxfId="0" priority="1" operator="containsText" text="執行中"/>
    <x:cfRule type="containsText" dxfId="1" priority="2" operator="containsText" text="已完成"/>
  </x:conditionalFormatting>
  <x:conditionalFormatting sqref="H8:H14">
    <x:cfRule type="containsText" dxfId="2" priority="3" operator="containsText" text="高"/>
    <x:cfRule type="containsText" dxfId="3" priority="4" operator="containsText" text="中"/>
  </x:conditionalFormatting>
  <x:dataValidations count="3">
    <x:dataValidation type="list" sqref="G8:G14">
      <x:formula1>"待確認,執行中,已完成"</x:formula1>
    </x:dataValidation>
    <x:dataValidation type="list" sqref="H8:H14">
      <x:formula1>"高,中,低"</x:formula1>
    </x:dataValidation>
    <x:dataValidation type="list" sqref="G19:G22">
      <x:formula1>"待確認,執行中,已完成"</x:formula1>
    </x:dataValidation>
  </x:dataValidations>
  <x:pageMargins left="0.7" right="0.7" top="0.75" bottom="0.75" header="0.3" footer="0.3"/>
</x:worksheet>
</file>